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lspxuser\Desktop\"/>
    </mc:Choice>
  </mc:AlternateContent>
  <xr:revisionPtr revIDLastSave="0" documentId="13_ncr:1_{FBE9BEE3-4749-4D49-9BA5-E7418540E130}" xr6:coauthVersionLast="47" xr6:coauthVersionMax="47" xr10:uidLastSave="{00000000-0000-0000-0000-000000000000}"/>
  <bookViews>
    <workbookView xWindow="-120" yWindow="-120" windowWidth="20730" windowHeight="11310" xr2:uid="{34F40950-517E-4D58-A8F6-E2C1E4E72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O17" i="1" s="1"/>
  <c r="O18" i="1" s="1"/>
  <c r="K11" i="1"/>
  <c r="K12" i="1"/>
  <c r="K10" i="1"/>
  <c r="H10" i="1"/>
  <c r="H15" i="1" s="1"/>
  <c r="E11" i="1"/>
  <c r="E12" i="1"/>
  <c r="E13" i="1"/>
  <c r="E10" i="1"/>
  <c r="T3" i="1"/>
  <c r="T4" i="1"/>
  <c r="T2" i="1"/>
  <c r="Q3" i="1"/>
  <c r="Q4" i="1"/>
  <c r="Q2" i="1"/>
  <c r="N3" i="1"/>
  <c r="N2" i="1"/>
  <c r="K4" i="1"/>
  <c r="K2" i="1"/>
  <c r="H4" i="1"/>
  <c r="H3" i="1"/>
  <c r="H2" i="1"/>
  <c r="E3" i="1"/>
  <c r="E2" i="1"/>
  <c r="E6" i="1" s="1"/>
  <c r="N6" i="1" l="1"/>
  <c r="H6" i="1"/>
  <c r="E15" i="1"/>
  <c r="K6" i="1"/>
  <c r="T6" i="1"/>
  <c r="K15" i="1"/>
  <c r="Q6" i="1"/>
</calcChain>
</file>

<file path=xl/sharedStrings.xml><?xml version="1.0" encoding="utf-8"?>
<sst xmlns="http://schemas.openxmlformats.org/spreadsheetml/2006/main" count="63" uniqueCount="29">
  <si>
    <t>Baloc</t>
  </si>
  <si>
    <t>Buasao</t>
  </si>
  <si>
    <t>Burgos</t>
  </si>
  <si>
    <t>Cabugao</t>
  </si>
  <si>
    <t>Casulucan</t>
  </si>
  <si>
    <t>Comitang</t>
  </si>
  <si>
    <t>Concepcion</t>
  </si>
  <si>
    <t>Dolores</t>
  </si>
  <si>
    <t>General Luna</t>
  </si>
  <si>
    <t>Hulo</t>
  </si>
  <si>
    <t>Mabini</t>
  </si>
  <si>
    <t>Malasin</t>
  </si>
  <si>
    <t>Malaya (Pook Malaya)</t>
  </si>
  <si>
    <t>Malayantoc</t>
  </si>
  <si>
    <t>Mambarao</t>
  </si>
  <si>
    <t>Poblacion</t>
  </si>
  <si>
    <t>Pulong Buli</t>
  </si>
  <si>
    <t>Sagaba</t>
  </si>
  <si>
    <t>San Agustin</t>
  </si>
  <si>
    <t>San Fabian</t>
  </si>
  <si>
    <t>San Francisco</t>
  </si>
  <si>
    <t>San Pascual</t>
  </si>
  <si>
    <t>Santa Rita</t>
  </si>
  <si>
    <t>Santo Rosario</t>
  </si>
  <si>
    <t>AREA</t>
  </si>
  <si>
    <t>DAMI</t>
  </si>
  <si>
    <t>TOTAL</t>
  </si>
  <si>
    <t>PROD</t>
  </si>
  <si>
    <t>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</si>
</sst>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511E-4E9E-40BF-814C-3FBB89849A0A}">
  <dimension ref="A1:T30"/>
  <sheetViews>
    <sheetView tabSelected="1" zoomScale="73" workbookViewId="0">
      <selection activeCell="K19" sqref="K19"/>
    </sheetView>
  </sheetViews>
  <sheetFormatPr defaultRowHeight="15" x14ac:dyDescent="0.25"/>
  <cols>
    <col min="1" max="1" width="20.5703125" bestFit="1" customWidth="1"/>
    <col min="2" max="2" width="5.85546875" bestFit="1" customWidth="1"/>
    <col min="4" max="4" width="21.85546875" style="2" bestFit="1" customWidth="1"/>
    <col min="5" max="5" width="9.140625" style="2"/>
    <col min="6" max="6" width="20.5703125" style="2" bestFit="1" customWidth="1"/>
    <col min="7" max="7" width="10.5703125" style="2" bestFit="1" customWidth="1"/>
    <col min="8" max="8" width="9.7109375" style="2" bestFit="1" customWidth="1"/>
    <col min="9" max="9" width="9.140625" style="2"/>
    <col min="10" max="10" width="12.28515625" style="2" bestFit="1" customWidth="1"/>
    <col min="11" max="11" width="9.140625" style="2"/>
    <col min="12" max="12" width="7.140625" style="2" bestFit="1" customWidth="1"/>
    <col min="13" max="13" width="9.140625" style="2"/>
    <col min="14" max="14" width="13.140625" style="2" bestFit="1" customWidth="1"/>
    <col min="15" max="15" width="9.140625" style="2"/>
    <col min="16" max="16" width="14" style="2" bestFit="1" customWidth="1"/>
    <col min="17" max="18" width="9.140625" style="2"/>
    <col min="19" max="19" width="12.7109375" style="2" bestFit="1" customWidth="1"/>
    <col min="20" max="20" width="9.140625" style="2"/>
    <col min="21" max="21" width="11.28515625" style="2" bestFit="1" customWidth="1"/>
    <col min="22" max="16384" width="9.140625" style="2"/>
  </cols>
  <sheetData>
    <row r="1" spans="1:20" x14ac:dyDescent="0.25">
      <c r="A1" t="s">
        <v>24</v>
      </c>
      <c r="B1" t="s">
        <v>25</v>
      </c>
      <c r="D1" s="4">
        <v>1</v>
      </c>
      <c r="E1" s="4"/>
      <c r="F1" s="4"/>
      <c r="G1" s="4">
        <v>2</v>
      </c>
      <c r="H1" s="4"/>
      <c r="I1" s="4"/>
      <c r="J1" s="4">
        <v>3</v>
      </c>
      <c r="K1" s="4"/>
      <c r="L1" s="4"/>
      <c r="M1" s="4">
        <v>4</v>
      </c>
      <c r="N1" s="4"/>
      <c r="O1" s="4"/>
      <c r="P1" s="4">
        <v>5</v>
      </c>
      <c r="Q1" s="4"/>
      <c r="R1" s="4"/>
      <c r="S1" s="4">
        <v>6</v>
      </c>
      <c r="T1" s="5"/>
    </row>
    <row r="2" spans="1:20" x14ac:dyDescent="0.25">
      <c r="A2" s="1" t="s">
        <v>0</v>
      </c>
      <c r="B2">
        <v>276</v>
      </c>
      <c r="D2" s="3" t="s">
        <v>12</v>
      </c>
      <c r="E2" s="2">
        <f>B17</f>
        <v>34</v>
      </c>
      <c r="G2" s="3" t="s">
        <v>11</v>
      </c>
      <c r="H2" s="2">
        <f>B16</f>
        <v>72</v>
      </c>
      <c r="J2" s="3" t="s">
        <v>16</v>
      </c>
      <c r="K2" s="2">
        <f>B21</f>
        <v>58</v>
      </c>
      <c r="M2" s="3" t="s">
        <v>17</v>
      </c>
      <c r="N2" s="2">
        <f>VLOOKUP(M2,A:B,2,)</f>
        <v>112</v>
      </c>
      <c r="P2" s="3" t="s">
        <v>23</v>
      </c>
      <c r="Q2" s="2">
        <f>VLOOKUP(P2,A:B,2,)</f>
        <v>149</v>
      </c>
      <c r="S2" s="3" t="s">
        <v>20</v>
      </c>
      <c r="T2" s="2">
        <f>VLOOKUP(S2,A:B,2,)</f>
        <v>40</v>
      </c>
    </row>
    <row r="3" spans="1:20" x14ac:dyDescent="0.25">
      <c r="A3" s="1" t="s">
        <v>1</v>
      </c>
      <c r="B3">
        <v>49</v>
      </c>
      <c r="D3" s="3" t="s">
        <v>9</v>
      </c>
      <c r="E3" s="2">
        <f>B11</f>
        <v>59</v>
      </c>
      <c r="G3" s="3" t="s">
        <v>3</v>
      </c>
      <c r="H3" s="2">
        <f>B5</f>
        <v>61</v>
      </c>
      <c r="J3" s="3" t="s">
        <v>21</v>
      </c>
      <c r="K3" s="2">
        <v>63</v>
      </c>
      <c r="M3" s="3" t="s">
        <v>2</v>
      </c>
      <c r="N3" s="2">
        <f>VLOOKUP(M3,A:B,2,)</f>
        <v>45</v>
      </c>
      <c r="P3" s="3" t="s">
        <v>5</v>
      </c>
      <c r="Q3" s="2">
        <f t="shared" ref="Q3:Q4" si="0">VLOOKUP(P3,A:B,2,)</f>
        <v>31</v>
      </c>
      <c r="S3" s="3" t="s">
        <v>19</v>
      </c>
      <c r="T3" s="2">
        <f t="shared" ref="T3:T4" si="1">VLOOKUP(S3,A:B,2,)</f>
        <v>58</v>
      </c>
    </row>
    <row r="4" spans="1:20" x14ac:dyDescent="0.25">
      <c r="A4" s="1" t="s">
        <v>2</v>
      </c>
      <c r="B4">
        <v>45</v>
      </c>
      <c r="G4" s="3" t="s">
        <v>15</v>
      </c>
      <c r="H4" s="2">
        <f>B20</f>
        <v>32</v>
      </c>
      <c r="J4" s="3" t="s">
        <v>14</v>
      </c>
      <c r="K4" s="2">
        <f>B19</f>
        <v>112</v>
      </c>
      <c r="P4" s="3" t="s">
        <v>8</v>
      </c>
      <c r="Q4" s="2">
        <f t="shared" si="0"/>
        <v>14</v>
      </c>
      <c r="S4" s="3" t="s">
        <v>1</v>
      </c>
      <c r="T4" s="2">
        <f t="shared" si="1"/>
        <v>49</v>
      </c>
    </row>
    <row r="5" spans="1:20" x14ac:dyDescent="0.25">
      <c r="A5" s="1" t="s">
        <v>3</v>
      </c>
      <c r="B5">
        <v>61</v>
      </c>
    </row>
    <row r="6" spans="1:20" x14ac:dyDescent="0.25">
      <c r="A6" s="1" t="s">
        <v>4</v>
      </c>
      <c r="B6">
        <v>41</v>
      </c>
      <c r="D6" s="2" t="s">
        <v>26</v>
      </c>
      <c r="E6" s="2">
        <f>SUM(E2:E3)</f>
        <v>93</v>
      </c>
      <c r="G6" s="2" t="s">
        <v>26</v>
      </c>
      <c r="H6" s="2">
        <f>SUM(H2:H4)</f>
        <v>165</v>
      </c>
      <c r="J6" s="2" t="s">
        <v>26</v>
      </c>
      <c r="K6" s="2">
        <f>SUM(K2:K4)</f>
        <v>233</v>
      </c>
      <c r="M6" s="2" t="s">
        <v>26</v>
      </c>
      <c r="N6" s="2">
        <f>SUM(N2:N3)</f>
        <v>157</v>
      </c>
      <c r="P6" s="2" t="s">
        <v>26</v>
      </c>
      <c r="Q6" s="2">
        <f>SUM(Q2:Q4)</f>
        <v>194</v>
      </c>
      <c r="S6" s="2" t="s">
        <v>26</v>
      </c>
      <c r="T6" s="2">
        <f>SUM(T2:T4)</f>
        <v>147</v>
      </c>
    </row>
    <row r="7" spans="1:20" x14ac:dyDescent="0.25">
      <c r="A7" s="1" t="s">
        <v>5</v>
      </c>
      <c r="B7">
        <v>31</v>
      </c>
    </row>
    <row r="8" spans="1:20" x14ac:dyDescent="0.25">
      <c r="A8" s="1" t="s">
        <v>6</v>
      </c>
      <c r="B8">
        <v>41</v>
      </c>
    </row>
    <row r="9" spans="1:20" x14ac:dyDescent="0.25">
      <c r="A9" s="1" t="s">
        <v>7</v>
      </c>
      <c r="B9">
        <v>52</v>
      </c>
      <c r="D9" s="4">
        <v>7</v>
      </c>
      <c r="E9" s="4"/>
      <c r="F9" s="4"/>
      <c r="G9" s="4">
        <v>8</v>
      </c>
      <c r="H9" s="4"/>
      <c r="I9" s="4"/>
      <c r="J9" s="4">
        <v>9</v>
      </c>
      <c r="K9" s="5"/>
    </row>
    <row r="10" spans="1:20" x14ac:dyDescent="0.25">
      <c r="A10" s="1" t="s">
        <v>8</v>
      </c>
      <c r="B10">
        <v>14</v>
      </c>
      <c r="D10" s="3" t="s">
        <v>22</v>
      </c>
      <c r="E10" s="2">
        <f>VLOOKUP(D10,A:B,2,)</f>
        <v>36</v>
      </c>
      <c r="G10" s="3" t="s">
        <v>0</v>
      </c>
      <c r="H10" s="2">
        <f>VLOOKUP(G10,A:B,2,)</f>
        <v>276</v>
      </c>
      <c r="J10" s="3" t="s">
        <v>18</v>
      </c>
      <c r="K10" s="2">
        <f>VLOOKUP(J10,A:B,2,)</f>
        <v>32</v>
      </c>
    </row>
    <row r="11" spans="1:20" x14ac:dyDescent="0.25">
      <c r="A11" s="1" t="s">
        <v>9</v>
      </c>
      <c r="B11">
        <v>59</v>
      </c>
      <c r="D11" s="3" t="s">
        <v>13</v>
      </c>
      <c r="E11" s="2">
        <f t="shared" ref="E11:E13" si="2">VLOOKUP(D11,A:B,2,)</f>
        <v>90</v>
      </c>
      <c r="J11" s="3" t="s">
        <v>6</v>
      </c>
      <c r="K11" s="2">
        <f t="shared" ref="K11:K12" si="3">VLOOKUP(J11,A:B,2,)</f>
        <v>41</v>
      </c>
    </row>
    <row r="12" spans="1:20" x14ac:dyDescent="0.25">
      <c r="A12" s="1" t="s">
        <v>10</v>
      </c>
      <c r="B12">
        <v>41</v>
      </c>
      <c r="D12" s="3" t="s">
        <v>10</v>
      </c>
      <c r="E12" s="2">
        <f t="shared" si="2"/>
        <v>41</v>
      </c>
      <c r="J12" s="3" t="s">
        <v>7</v>
      </c>
      <c r="K12" s="2">
        <f t="shared" si="3"/>
        <v>52</v>
      </c>
    </row>
    <row r="13" spans="1:20" x14ac:dyDescent="0.25">
      <c r="A13" s="1" t="s">
        <v>11</v>
      </c>
      <c r="B13">
        <v>51</v>
      </c>
      <c r="D13" s="3" t="s">
        <v>4</v>
      </c>
      <c r="E13" s="2">
        <f t="shared" si="2"/>
        <v>41</v>
      </c>
    </row>
    <row r="14" spans="1:20" x14ac:dyDescent="0.25">
      <c r="A14" s="1" t="s">
        <v>12</v>
      </c>
      <c r="B14">
        <v>65</v>
      </c>
    </row>
    <row r="15" spans="1:20" x14ac:dyDescent="0.25">
      <c r="A15" s="1" t="s">
        <v>13</v>
      </c>
      <c r="B15">
        <v>90</v>
      </c>
      <c r="D15" s="2" t="s">
        <v>26</v>
      </c>
      <c r="E15" s="2">
        <f>SUM(E10:E13)</f>
        <v>208</v>
      </c>
      <c r="G15" s="2" t="s">
        <v>26</v>
      </c>
      <c r="H15" s="2">
        <f>H10</f>
        <v>276</v>
      </c>
      <c r="J15" s="2" t="s">
        <v>26</v>
      </c>
      <c r="K15" s="2">
        <f>SUM(K10:K12)</f>
        <v>125</v>
      </c>
    </row>
    <row r="16" spans="1:20" x14ac:dyDescent="0.25">
      <c r="A16" s="1" t="s">
        <v>14</v>
      </c>
      <c r="B16">
        <v>72</v>
      </c>
    </row>
    <row r="17" spans="1:18" x14ac:dyDescent="0.25">
      <c r="A17" s="1" t="s">
        <v>15</v>
      </c>
      <c r="B17">
        <v>34</v>
      </c>
      <c r="N17" s="2" t="s">
        <v>26</v>
      </c>
      <c r="O17" s="2">
        <f>B30</f>
        <v>1577</v>
      </c>
      <c r="Q17" s="2" t="s">
        <v>27</v>
      </c>
      <c r="R17" s="2">
        <v>130</v>
      </c>
    </row>
    <row r="18" spans="1:18" x14ac:dyDescent="0.25">
      <c r="A18" s="1" t="s">
        <v>16</v>
      </c>
      <c r="B18">
        <v>65</v>
      </c>
      <c r="N18" s="2" t="s">
        <v>28</v>
      </c>
      <c r="O18" s="2">
        <f>O17/R17</f>
        <v>12.13076923076923</v>
      </c>
    </row>
    <row r="19" spans="1:18" x14ac:dyDescent="0.25">
      <c r="A19" s="1" t="s">
        <v>17</v>
      </c>
      <c r="B19">
        <v>112</v>
      </c>
    </row>
    <row r="20" spans="1:18" x14ac:dyDescent="0.25">
      <c r="A20" s="1" t="s">
        <v>18</v>
      </c>
      <c r="B20">
        <v>32</v>
      </c>
    </row>
    <row r="21" spans="1:18" x14ac:dyDescent="0.25">
      <c r="A21" s="1" t="s">
        <v>19</v>
      </c>
      <c r="B21">
        <v>58</v>
      </c>
    </row>
    <row r="22" spans="1:18" x14ac:dyDescent="0.25">
      <c r="A22" s="1" t="s">
        <v>20</v>
      </c>
      <c r="B22">
        <v>40</v>
      </c>
    </row>
    <row r="23" spans="1:18" x14ac:dyDescent="0.25">
      <c r="A23" s="1" t="s">
        <v>21</v>
      </c>
      <c r="B23">
        <v>63</v>
      </c>
    </row>
    <row r="24" spans="1:18" x14ac:dyDescent="0.25">
      <c r="A24" s="1" t="s">
        <v>22</v>
      </c>
      <c r="B24">
        <v>36</v>
      </c>
    </row>
    <row r="25" spans="1:18" x14ac:dyDescent="0.25">
      <c r="A25" s="1" t="s">
        <v>23</v>
      </c>
      <c r="B25">
        <v>149</v>
      </c>
    </row>
    <row r="26" spans="1:18" x14ac:dyDescent="0.25">
      <c r="A26" s="1"/>
    </row>
    <row r="27" spans="1:18" x14ac:dyDescent="0.25">
      <c r="A27" s="1"/>
    </row>
    <row r="28" spans="1:18" x14ac:dyDescent="0.25">
      <c r="A28" s="1"/>
    </row>
    <row r="30" spans="1:18" x14ac:dyDescent="0.25">
      <c r="A30" s="1" t="s">
        <v>26</v>
      </c>
      <c r="B30">
        <f>SUM(B2:B28)</f>
        <v>1577</v>
      </c>
    </row>
  </sheetData>
  <sortState xmlns:xlrd2="http://schemas.microsoft.com/office/spreadsheetml/2017/richdata2" ref="A2:B29">
    <sortCondition ref="A1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13293</dc:creator>
  <cp:lastModifiedBy>13293</cp:lastModifiedBy>
  <dcterms:created xsi:type="dcterms:W3CDTF">2023-11-22T22:45:03Z</dcterms:created>
  <dcterms:modified xsi:type="dcterms:W3CDTF">2024-07-06T19:58:15Z</dcterms:modified>
</cp:coreProperties>
</file>